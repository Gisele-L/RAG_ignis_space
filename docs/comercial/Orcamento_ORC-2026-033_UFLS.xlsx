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<sst xmlns="http://schemas.openxmlformats.org/spreadsheetml/2006/main" count="42" uniqueCount="42">
  <si>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IGNIS SPACE</t>
  </si>
  <si>
    <t xml:space="preserve">RIDESHARE ORBITAL PARA CUBESATS</t>
  </si>
  <si>
    <t xml:space="preserve">PROPOSTA COMERCIAL — SERVIÇO DE LANÇAMENTO RIDESHARE</t>
  </si>
  <si>
    <t xml:space="preserve">Nº da Proposta</t>
  </si>
  <si>
    <t xml:space="preserve">ORC-2026-033</t>
  </si>
  <si>
    <t xml:space="preserve">Data de envio</t>
  </si>
  <si>
    <t xml:space="preserve">Validade da proposta</t>
  </si>
  <si>
    <t xml:space="preserve">Status</t>
  </si>
  <si>
    <t xml:space="preserve">Em análise</t>
  </si>
  <si>
    <t xml:space="preserve">Missão de referência</t>
  </si>
  <si>
    <t xml:space="preserve">CubeSat 3U para programa acadêmico de observação costeira — janela pretendida Q2 2027 (MSN-2027-005, em estudo)</t>
  </si>
  <si>
    <t xml:space="preserve">DADOS DO PROPONENTE</t>
  </si>
  <si>
    <t xml:space="preserve">Razão social</t>
  </si>
  <si>
    <t xml:space="preserve">Universidade Federal do Litoral Sul (UFLS)</t>
  </si>
  <si>
    <t xml:space="preserve">CNPJ</t>
  </si>
  <si>
    <t xml:space="preserve">08.712.664/0001-09</t>
  </si>
  <si>
    <t xml:space="preserve">Endereço</t>
  </si>
  <si>
    <t xml:space="preserve">Av. Beira-Lagoa, 2200, Campus Central, Pelotas - RS, CEP 96010-610</t>
  </si>
  <si>
    <t xml:space="preserve">Contato</t>
  </si>
  <si>
    <t xml:space="preserve">Henrique Salles Bittencourt, Coordenador do Laboratório de Sistemas Espaciais</t>
  </si>
  <si>
    <t xml:space="preserve">E-mail</t>
  </si>
  <si>
    <t xml:space="preserve">henrique.bittencourt@ufls.edu.br</t>
  </si>
  <si>
    <t xml:space="preserve">ITENS DA PROPOSTA</t>
  </si>
  <si>
    <t xml:space="preserve">Item</t>
  </si>
  <si>
    <t xml:space="preserve">Referência</t>
  </si>
  <si>
    <t xml:space="preserve">Un.</t>
  </si>
  <si>
    <t xml:space="preserve">Valor (R$)</t>
  </si>
  <si>
    <t xml:space="preserve">Bloco-base rideshare (até 6 kg) — CubeSat 3U, órbita SSO</t>
  </si>
  <si>
    <t xml:space="preserve">Tarifa-base Ignis Vector-1</t>
  </si>
  <si>
    <t xml:space="preserve">Integração e dispenser de separação</t>
  </si>
  <si>
    <t xml:space="preserve">Padrão de mercado</t>
  </si>
  <si>
    <t xml:space="preserve">Estudo de viabilidade orbital (taxa única — novo cliente)</t>
  </si>
  <si>
    <t xml:space="preserve">Onboarding técnico</t>
  </si>
  <si>
    <t xml:space="preserve">Subtotal</t>
  </si>
  <si>
    <t xml:space="preserve">Seguro de lançamento (estimativa preliminar — 5% sobre o bloco-base)</t>
  </si>
  <si>
    <t xml:space="preserve">VALOR TOTAL ESTIMADO</t>
  </si>
  <si>
    <t xml:space="preserve">* Estimativa de seguro na taxa mínima de 5% sobre o bloco-base, conforme cláusula padrão dos contratos de lançamento. O percentual definitivo é calculado pela metodologia de Perda Máxima Provável (MPL) na formalização do contrato.</t>
  </si>
  <si>
    <t xml:space="preserve">CONDIÇÕES COMERCIAIS</t>
  </si>
  <si>
    <t xml:space="preserve">• Pagamento: 30% na assinatura do contrato, 40% na confirmação da janela de lançamento, 30% em D-10 dias.</t>
  </si>
  <si>
    <t xml:space="preserve">• Reajuste: valores sujeitos a variação cambial (USD/BRL) até a assinatura do contrato definitivo.</t>
  </si>
  <si>
    <t xml:space="preserve">• Esta proposta não constitui reserva de slot de lançamento — a reserva ocorre apenas mediante contrato assinado.</t>
  </si>
  <si>
    <t xml:space="preserve">Elaborado por: Gustavo Ferraz Siqueira — Gerente Comercial — comercial@ignisspace.com.br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</si>
</sst>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4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i val="true"/>
      <sz val="9"/>
      <color rgb="FF3D5A80"/>
      <name val="Arial"/>
      <family val="0"/>
      <charset val="1"/>
    </font>
    <font>
      <sz val="10"/>
      <color rgb="FF2B2D32"/>
      <name val="Arial"/>
      <family val="0"/>
      <charset val="1"/>
    </font>
    <font>
      <i val="true"/>
      <sz val="10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3D5A80"/>
        <bgColor rgb="FF333399"/>
      </patternFill>
    </fill>
    <fill>
      <patternFill patternType="solid">
        <fgColor rgb="FFF26B1D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 diagonalUp="false" diagonalDown="false">
      <left style="thin">
        <color rgb="FFD9DCE1"/>
      </left>
      <right/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2" t="s">
        <v>0</v>
      </c>
      <c r="C2" s="2"/>
      <c r="D2" s="2"/>
      <c r="E2" s="2"/>
    </row>
    <row r="3" customFormat="false" ht="18" hidden="false" customHeight="true" outlineLevel="0" collapsed="false">
      <c r="B3" s="3" t="s">
        <v>1</v>
      </c>
      <c r="C3" s="3"/>
      <c r="D3" s="3"/>
      <c r="E3" s="3"/>
    </row>
    <row r="5" customFormat="false" ht="17.25" hidden="false" customHeight="true" outlineLevel="0" collapsed="false">
      <c r="B5" s="4" t="s">
        <v>2</v>
      </c>
      <c r="C5" s="4"/>
      <c r="D5" s="4"/>
      <c r="E5" s="4"/>
    </row>
    <row r="7" customFormat="false" ht="15" hidden="false" customHeight="true" outlineLevel="0" collapsed="false">
      <c r="B7" s="5" t="s">
        <v>3</v>
      </c>
      <c r="C7" s="6" t="s">
        <v>4</v>
      </c>
      <c r="D7" s="6"/>
      <c r="E7" s="6"/>
    </row>
    <row r="8" customFormat="false" ht="15" hidden="false" customHeight="true" outlineLevel="0" collapsed="false">
      <c r="B8" s="5" t="s">
        <v>5</v>
      </c>
      <c r="C8" s="7" t="n">
        <v>46213</v>
      </c>
      <c r="D8" s="7"/>
      <c r="E8" s="7"/>
    </row>
    <row r="9" customFormat="false" ht="15" hidden="false" customHeight="true" outlineLevel="0" collapsed="false">
      <c r="B9" s="5" t="s">
        <v>6</v>
      </c>
      <c r="C9" s="7" t="n">
        <f aca="false">C8+30</f>
        <v>46243</v>
      </c>
      <c r="D9" s="7"/>
      <c r="E9" s="7"/>
    </row>
    <row r="10" customFormat="false" ht="15" hidden="false" customHeight="true" outlineLevel="0" collapsed="false">
      <c r="B10" s="5" t="s">
        <v>7</v>
      </c>
      <c r="C10" s="6" t="s">
        <v>8</v>
      </c>
      <c r="D10" s="6"/>
      <c r="E10" s="6"/>
    </row>
    <row r="11" customFormat="false" ht="26.25" hidden="false" customHeight="true" outlineLevel="0" collapsed="false">
      <c r="B11" s="5" t="s">
        <v>9</v>
      </c>
      <c r="C11" s="6" t="s">
        <v>10</v>
      </c>
      <c r="D11" s="6"/>
      <c r="E11" s="6"/>
    </row>
    <row r="13" customFormat="false" ht="19.5" hidden="false" customHeight="true" outlineLevel="0" collapsed="false">
      <c r="B13" s="8" t="s">
        <v>11</v>
      </c>
      <c r="C13" s="8"/>
      <c r="D13" s="8"/>
      <c r="E13" s="8"/>
    </row>
    <row r="14" customFormat="false" ht="15" hidden="false" customHeight="true" outlineLevel="0" collapsed="false">
      <c r="B14" s="5" t="s">
        <v>12</v>
      </c>
      <c r="C14" s="6" t="s">
        <v>13</v>
      </c>
      <c r="D14" s="6"/>
      <c r="E14" s="6"/>
    </row>
    <row r="15" customFormat="false" ht="15" hidden="false" customHeight="true" outlineLevel="0" collapsed="false">
      <c r="B15" s="5" t="s">
        <v>14</v>
      </c>
      <c r="C15" s="6" t="s">
        <v>15</v>
      </c>
      <c r="D15" s="6"/>
      <c r="E15" s="6"/>
    </row>
    <row r="16" customFormat="false" ht="26.25" hidden="false" customHeight="true" outlineLevel="0" collapsed="false">
      <c r="B16" s="5" t="s">
        <v>16</v>
      </c>
      <c r="C16" s="6" t="s">
        <v>17</v>
      </c>
      <c r="D16" s="6"/>
      <c r="E16" s="6"/>
    </row>
    <row r="17" customFormat="false" ht="15" hidden="false" customHeight="true" outlineLevel="0" collapsed="false">
      <c r="B17" s="5" t="s">
        <v>18</v>
      </c>
      <c r="C17" s="6" t="s">
        <v>19</v>
      </c>
      <c r="D17" s="6"/>
      <c r="E17" s="6"/>
    </row>
    <row r="18" customFormat="false" ht="15" hidden="false" customHeight="true" outlineLevel="0" collapsed="false">
      <c r="B18" s="5" t="s">
        <v>20</v>
      </c>
      <c r="C18" s="6" t="s">
        <v>21</v>
      </c>
      <c r="D18" s="6"/>
      <c r="E18" s="6"/>
    </row>
    <row r="20" customFormat="false" ht="19.5" hidden="false" customHeight="true" outlineLevel="0" collapsed="false">
      <c r="B20" s="8" t="s">
        <v>22</v>
      </c>
      <c r="C20" s="8"/>
      <c r="D20" s="8"/>
      <c r="E20" s="8"/>
    </row>
    <row r="21" customFormat="false" ht="15" hidden="false" customHeight="true" outlineLevel="0" collapsed="false">
      <c r="B21" s="9" t="s">
        <v>23</v>
      </c>
      <c r="C21" s="9" t="s">
        <v>24</v>
      </c>
      <c r="D21" s="9" t="s">
        <v>25</v>
      </c>
      <c r="E21" s="9" t="s">
        <v>26</v>
      </c>
    </row>
    <row r="22" customFormat="false" ht="26.25" hidden="false" customHeight="true" outlineLevel="0" collapsed="false">
      <c r="B22" s="10" t="s">
        <v>27</v>
      </c>
      <c r="C22" s="11" t="s">
        <v>28</v>
      </c>
      <c r="D22" s="11" t="n">
        <v>1</v>
      </c>
      <c r="E22" s="12" t="n">
        <v>1510000</v>
      </c>
    </row>
    <row r="23" customFormat="false" ht="26.25" hidden="false" customHeight="true" outlineLevel="0" collapsed="false">
      <c r="B23" s="10" t="s">
        <v>29</v>
      </c>
      <c r="C23" s="11" t="s">
        <v>30</v>
      </c>
      <c r="D23" s="11" t="n">
        <v>1</v>
      </c>
      <c r="E23" s="12" t="n">
        <v>65000</v>
      </c>
    </row>
    <row r="24" customFormat="false" ht="26.25" hidden="false" customHeight="true" outlineLevel="0" collapsed="false">
      <c r="B24" s="10" t="s">
        <v>31</v>
      </c>
      <c r="C24" s="11" t="s">
        <v>32</v>
      </c>
      <c r="D24" s="11" t="n">
        <v>1</v>
      </c>
      <c r="E24" s="12" t="n">
        <v>38000</v>
      </c>
    </row>
    <row r="25" customFormat="false" ht="15" hidden="false" customHeight="true" outlineLevel="0" collapsed="false">
      <c r="B25" s="13" t="s">
        <v>33</v>
      </c>
      <c r="C25" s="13"/>
      <c r="D25" s="13"/>
      <c r="E25" s="14" t="n">
        <f aca="false">SUM(E22:E24)</f>
        <v>1613000</v>
      </c>
    </row>
    <row r="26" customFormat="false" ht="15" hidden="false" customHeight="true" outlineLevel="0" collapsed="false">
      <c r="B26" s="15" t="s">
        <v>34</v>
      </c>
      <c r="C26" s="15"/>
      <c r="D26" s="15"/>
      <c r="E26" s="12" t="n">
        <v>75500</v>
      </c>
    </row>
    <row r="27" customFormat="false" ht="15" hidden="false" customHeight="true" outlineLevel="0" collapsed="false">
      <c r="B27" s="16" t="s">
        <v>35</v>
      </c>
      <c r="C27" s="16"/>
      <c r="D27" s="16"/>
      <c r="E27" s="17" t="n">
        <f aca="false">E25+E26</f>
        <v>1688500</v>
      </c>
    </row>
    <row r="29" customFormat="false" ht="39.75" hidden="false" customHeight="true" outlineLevel="0" collapsed="false">
      <c r="B29" s="18" t="s">
        <v>36</v>
      </c>
      <c r="C29" s="18"/>
      <c r="D29" s="18"/>
      <c r="E29" s="18"/>
    </row>
    <row r="31" customFormat="false" ht="19.5" hidden="false" customHeight="true" outlineLevel="0" collapsed="false">
      <c r="B31" s="8" t="s">
        <v>37</v>
      </c>
      <c r="C31" s="8"/>
      <c r="D31" s="8"/>
      <c r="E31" s="8"/>
    </row>
    <row r="32" customFormat="false" ht="24" hidden="false" customHeight="true" outlineLevel="0" collapsed="false">
      <c r="B32" s="19" t="s">
        <v>38</v>
      </c>
      <c r="C32" s="19"/>
      <c r="D32" s="19"/>
      <c r="E32" s="19"/>
    </row>
    <row r="33" customFormat="false" ht="24" hidden="false" customHeight="true" outlineLevel="0" collapsed="false">
      <c r="B33" s="19" t="s">
        <v>39</v>
      </c>
      <c r="C33" s="19"/>
      <c r="D33" s="19"/>
      <c r="E33" s="19"/>
    </row>
    <row r="34" customFormat="false" ht="24" hidden="false" customHeight="true" outlineLevel="0" collapsed="false">
      <c r="B34" s="19" t="s">
        <v>40</v>
      </c>
      <c r="C34" s="19"/>
      <c r="D34" s="19"/>
      <c r="E34" s="19"/>
    </row>
    <row r="36" customFormat="false" ht="15" hidden="false" customHeight="true" outlineLevel="0" collapsed="false">
      <c r="B36" s="20" t="s">
        <v>41</v>
      </c>
      <c r="C36" s="20"/>
      <c r="D36" s="20"/>
      <c r="E36" s="20"/>
    </row>
  </sheetData>
  <mergeCells count="24">
    <mergeCell ref="B2:E2"/>
    <mergeCell ref="B3:E3"/>
    <mergeCell ref="B5:E5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B20:E20"/>
    <mergeCell ref="B25:D25"/>
    <mergeCell ref="B26:D26"/>
    <mergeCell ref="B27:D27"/>
    <mergeCell ref="B29:E29"/>
    <mergeCell ref="B31:E31"/>
    <mergeCell ref="B32:E32"/>
    <mergeCell ref="B33:E33"/>
    <mergeCell ref="B34:E34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2026-08-04T21:52:39Z</dcterms:created>
  <dc:creator>openpyxl</dc:creator>
  <dc:description/>
  <dc:language>en-US</dc:language>
  <cp:lastModifiedBy/>
  <dcterms:modified xsi:type="dcterms:W3CDTF">2026-08-17T19:22:15Z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