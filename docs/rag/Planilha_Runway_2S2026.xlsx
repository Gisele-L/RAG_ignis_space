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nw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<sst xmlns="http://schemas.openxmlformats.org/spreadsheetml/2006/main" count="18" uniqueCount="18">
  <si>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IGNIS SPACE</t>
  </si>
  <si>
    <t xml:space="preserve">RIDESHARE ORBITAL PARA CUBESATS</t>
  </si>
  <si>
    <t xml:space="preserve">PROJEÇÃO DE CAIXA E RUNWAY — 2º SEMESTRE 2026</t>
  </si>
  <si>
    <t xml:space="preserve">Caixa inicial (saldo em 01/07/2026)</t>
  </si>
  <si>
    <t xml:space="preserve">Item</t>
  </si>
  <si>
    <t xml:space="preserve">Jul/26</t>
  </si>
  <si>
    <t xml:space="preserve">Ago/26</t>
  </si>
  <si>
    <t xml:space="preserve">Set/26</t>
  </si>
  <si>
    <t xml:space="preserve">Out/26</t>
  </si>
  <si>
    <t xml:space="preserve">Nov/26</t>
  </si>
  <si>
    <t xml:space="preserve">Dez/26</t>
  </si>
  <si>
    <t xml:space="preserve">Entradas previstas (contratos/marcos)</t>
  </si>
  <si>
    <t xml:space="preserve">Saídas previstas (folha + operacional + fornecedores)</t>
  </si>
  <si>
    <t xml:space="preserve">Fluxo líquido do mês</t>
  </si>
  <si>
    <t xml:space="preserve">Saldo de caixa acumulado</t>
  </si>
  <si>
    <t xml:space="preserve">Burn médio mensal (últimos 6 meses projetados)</t>
  </si>
  <si>
    <t xml:space="preserve">Runway estimado (meses)</t>
  </si>
  <si>
    <t xml:space="preserve">* Projeção não considera eventual aporte da complementação da Série B, em tratativa com o Fundo Nacional de Inovação Aeroespacial (ver Ata ATA-2026-014).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</si>
</sst>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3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sz val="11"/>
      <color rgb="FF3D5A80"/>
      <name val="Arial"/>
      <family val="0"/>
      <charset val="1"/>
    </font>
    <font>
      <i val="true"/>
      <sz val="9"/>
      <color rgb="FF3D5A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F26B1D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16.15" hidden="false" customHeight="true" outlineLevel="0" collapsed="false">
      <c r="B5" s="3" t="s">
        <v>2</v>
      </c>
      <c r="C5" s="3"/>
      <c r="D5" s="3"/>
      <c r="E5" s="3"/>
      <c r="F5" s="3"/>
    </row>
    <row r="7" customFormat="false" ht="26.85" hidden="false" customHeight="false" outlineLevel="0" collapsed="false">
      <c r="B7" s="4" t="s">
        <v>3</v>
      </c>
      <c r="C7" s="5" t="n">
        <v>4850000</v>
      </c>
    </row>
    <row r="9" customFormat="false" ht="15" hidden="false" customHeight="false" outlineLevel="0" collapsed="false">
      <c r="B9" s="6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</row>
    <row r="10" customFormat="false" ht="26.85" hidden="false" customHeight="false" outlineLevel="0" collapsed="false">
      <c r="B10" s="8" t="s">
        <v>11</v>
      </c>
      <c r="C10" s="9" t="n">
        <v>843300</v>
      </c>
      <c r="D10" s="9" t="n">
        <v>0</v>
      </c>
      <c r="E10" s="9" t="n">
        <v>632100</v>
      </c>
      <c r="F10" s="9" t="n">
        <v>0</v>
      </c>
      <c r="G10" s="9" t="n">
        <v>0</v>
      </c>
      <c r="H10" s="9" t="n">
        <v>0</v>
      </c>
    </row>
    <row r="11" customFormat="false" ht="26.85" hidden="false" customHeight="false" outlineLevel="0" collapsed="false">
      <c r="B11" s="8" t="s">
        <v>12</v>
      </c>
      <c r="C11" s="9" t="n">
        <v>-639000</v>
      </c>
      <c r="D11" s="9" t="n">
        <v>-655000</v>
      </c>
      <c r="E11" s="9" t="n">
        <v>-812000</v>
      </c>
      <c r="F11" s="9" t="n">
        <v>-598000</v>
      </c>
      <c r="G11" s="9" t="n">
        <v>-601000</v>
      </c>
      <c r="H11" s="9" t="n">
        <v>-615000</v>
      </c>
    </row>
    <row r="12" customFormat="false" ht="15" hidden="false" customHeight="false" outlineLevel="0" collapsed="false">
      <c r="B12" s="10" t="s">
        <v>13</v>
      </c>
      <c r="C12" s="11" t="n">
        <f aca="false">C10+C11</f>
        <v>204300</v>
      </c>
      <c r="D12" s="11" t="n">
        <f aca="false">D10+D11</f>
        <v>-655000</v>
      </c>
      <c r="E12" s="11" t="n">
        <f aca="false">E10+E11</f>
        <v>-179900</v>
      </c>
      <c r="F12" s="11" t="n">
        <f aca="false">F10+F11</f>
        <v>-598000</v>
      </c>
      <c r="G12" s="11" t="n">
        <f aca="false">G10+G11</f>
        <v>-601000</v>
      </c>
      <c r="H12" s="11" t="n">
        <f aca="false">H10+H11</f>
        <v>-615000</v>
      </c>
    </row>
    <row r="13" customFormat="false" ht="15" hidden="false" customHeight="false" outlineLevel="0" collapsed="false">
      <c r="B13" s="12" t="s">
        <v>14</v>
      </c>
      <c r="C13" s="13" t="n">
        <f aca="false">C7+C12</f>
        <v>5054300</v>
      </c>
      <c r="D13" s="13" t="n">
        <f aca="false">C13+D12</f>
        <v>4399300</v>
      </c>
      <c r="E13" s="13" t="n">
        <f aca="false">D13+E12</f>
        <v>4219400</v>
      </c>
      <c r="F13" s="13" t="n">
        <f aca="false">E13+F12</f>
        <v>3621400</v>
      </c>
      <c r="G13" s="13" t="n">
        <f aca="false">F13+G12</f>
        <v>3020400</v>
      </c>
      <c r="H13" s="13" t="n">
        <f aca="false">G13+H12</f>
        <v>2405400</v>
      </c>
    </row>
    <row r="15" customFormat="false" ht="26.85" hidden="false" customHeight="false" outlineLevel="0" collapsed="false">
      <c r="B15" s="14" t="s">
        <v>15</v>
      </c>
      <c r="C15" s="15" t="n">
        <f aca="false">AVERAGE(C11:H11)*-1</f>
        <v>653333.333333333</v>
      </c>
    </row>
    <row r="16" customFormat="false" ht="15" hidden="false" customHeight="false" outlineLevel="0" collapsed="false">
      <c r="B16" s="16" t="s">
        <v>16</v>
      </c>
      <c r="C16" s="17" t="n">
        <f aca="false">H13/C15</f>
        <v>3.68173469387755</v>
      </c>
    </row>
    <row r="18" customFormat="false" ht="22.35" hidden="false" customHeight="true" outlineLevel="0" collapsed="false">
      <c r="B18" s="18" t="s">
        <v>17</v>
      </c>
      <c r="C18" s="18"/>
      <c r="D18" s="18"/>
      <c r="E18" s="18"/>
      <c r="F18" s="18"/>
      <c r="G18" s="18"/>
      <c r="H18" s="18"/>
    </row>
  </sheetData>
  <mergeCells count="4">
    <mergeCell ref="B2:F2"/>
    <mergeCell ref="B3:F3"/>
    <mergeCell ref="B5:F5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2026-08-05T00:10:56Z</dcterms:created>
  <dc:creator>openpyxl</dc:creator>
  <dc:description/>
  <dc:language>en-US</dc:language>
  <cp:lastModifiedBy/>
  <dcterms:modified xsi:type="dcterms:W3CDTF">2026-08-05T00:10:56Z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