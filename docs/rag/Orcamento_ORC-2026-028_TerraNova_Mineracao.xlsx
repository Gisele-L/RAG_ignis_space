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<sst xmlns="http://schemas.openxmlformats.org/spreadsheetml/2006/main" count="39" uniqueCount="39">
  <si>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IGNIS SPACE</t>
  </si>
  <si>
    <t xml:space="preserve">RIDESHARE ORBITAL PARA CUBESATS</t>
  </si>
  <si>
    <t xml:space="preserve">PROPOSTA COMERCIAL — SERVIÇO DE LANÇAMENTO RIDESHARE</t>
  </si>
  <si>
    <t xml:space="preserve">Nº da Proposta</t>
  </si>
  <si>
    <t xml:space="preserve">ORC-2026-028</t>
  </si>
  <si>
    <t xml:space="preserve">Data de envio</t>
  </si>
  <si>
    <t xml:space="preserve">Validade da proposta</t>
  </si>
  <si>
    <t xml:space="preserve">Status</t>
  </si>
  <si>
    <t xml:space="preserve">Aguardando aprovação interna do cliente</t>
  </si>
  <si>
    <t xml:space="preserve">Missão de referência</t>
  </si>
  <si>
    <t xml:space="preserve">CubeSat 6U para monitoramento de bacias de rejeito — janela pretendida Q4 2026</t>
  </si>
  <si>
    <t xml:space="preserve">DADOS DO PROPONENTE</t>
  </si>
  <si>
    <t xml:space="preserve">Razão social</t>
  </si>
  <si>
    <t xml:space="preserve">TerraNova Mineração S.A.</t>
  </si>
  <si>
    <t xml:space="preserve">CNPJ</t>
  </si>
  <si>
    <t xml:space="preserve">16.837.590/0001-45</t>
  </si>
  <si>
    <t xml:space="preserve">Endereço</t>
  </si>
  <si>
    <t xml:space="preserve">Rua dos Inconfidentes, 1000, Savassi, Belo Horizonte - MG, CEP 30140-120</t>
  </si>
  <si>
    <t xml:space="preserve">Contato</t>
  </si>
  <si>
    <t xml:space="preserve">Paulo César Andrade Melo, Diretor de Inovação</t>
  </si>
  <si>
    <t xml:space="preserve">E-mail</t>
  </si>
  <si>
    <t xml:space="preserve">paulo.melo@terranova.min.br</t>
  </si>
  <si>
    <t xml:space="preserve">ITENS DA PROPOSTA</t>
  </si>
  <si>
    <t xml:space="preserve">Item</t>
  </si>
  <si>
    <t xml:space="preserve">Referência</t>
  </si>
  <si>
    <t xml:space="preserve">Un.</t>
  </si>
  <si>
    <t xml:space="preserve">Valor (R$)</t>
  </si>
  <si>
    <t xml:space="preserve">Bloco-base rideshare (até 50 kg) — CubeSat 6U, órbita SSO</t>
  </si>
  <si>
    <t xml:space="preserve">Tarifa-base Ignis Vector-1</t>
  </si>
  <si>
    <t xml:space="preserve">Integração e dispenser de separação</t>
  </si>
  <si>
    <t xml:space="preserve">Padrão de mercado</t>
  </si>
  <si>
    <t xml:space="preserve">Estudo de viabilidade orbital (taxa única — novo cliente)</t>
  </si>
  <si>
    <t xml:space="preserve">Onboarding técnico</t>
  </si>
  <si>
    <t xml:space="preserve">Requisitos adicionais de blindagem — carga sensível a impacto ambiental</t>
  </si>
  <si>
    <t xml:space="preserve">Engenharia sob demanda</t>
  </si>
  <si>
    <t xml:space="preserve">Subtotal</t>
  </si>
  <si>
    <t xml:space="preserve">Seguro de lançamento (estimativa ~5,1% do subtotal)</t>
  </si>
  <si>
    <t xml:space="preserve">VALOR TOTAL ESTIMADO</t>
  </si>
  <si>
    <t xml:space="preserve">Elaborado por: Gustavo Ferraz Siqueira — Gerente Comercial — comercial@ignisspace.com.br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</si>
</sst>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4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i val="true"/>
      <sz val="10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3D5A80"/>
        <bgColor rgb="FF333399"/>
      </patternFill>
    </fill>
    <fill>
      <patternFill patternType="solid">
        <fgColor rgb="FFF26B1D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 diagonalUp="false" diagonalDown="false">
      <left style="thin">
        <color rgb="FFD9DCE1"/>
      </left>
      <right/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17.35" hidden="false" customHeight="true" outlineLevel="0" collapsed="false">
      <c r="B5" s="3" t="s">
        <v>2</v>
      </c>
      <c r="C5" s="3"/>
      <c r="D5" s="3"/>
      <c r="E5" s="3"/>
    </row>
    <row r="7" customFormat="false" ht="15" hidden="false" customHeight="true" outlineLevel="0" collapsed="false">
      <c r="B7" s="4" t="s">
        <v>3</v>
      </c>
      <c r="C7" s="5" t="s">
        <v>4</v>
      </c>
      <c r="D7" s="5"/>
      <c r="E7" s="5"/>
    </row>
    <row r="8" customFormat="false" ht="15" hidden="false" customHeight="false" outlineLevel="0" collapsed="false">
      <c r="B8" s="4" t="s">
        <v>5</v>
      </c>
      <c r="C8" s="6" t="n">
        <v>46203</v>
      </c>
      <c r="D8" s="6"/>
      <c r="E8" s="6"/>
    </row>
    <row r="9" customFormat="false" ht="15" hidden="false" customHeight="false" outlineLevel="0" collapsed="false">
      <c r="B9" s="4" t="s">
        <v>6</v>
      </c>
      <c r="C9" s="6" t="n">
        <f aca="false">C8+30</f>
        <v>46233</v>
      </c>
      <c r="D9" s="6"/>
      <c r="E9" s="6"/>
    </row>
    <row r="10" customFormat="false" ht="15" hidden="false" customHeight="true" outlineLevel="0" collapsed="false">
      <c r="B10" s="4" t="s">
        <v>7</v>
      </c>
      <c r="C10" s="5" t="s">
        <v>8</v>
      </c>
      <c r="D10" s="5"/>
      <c r="E10" s="5"/>
    </row>
    <row r="11" customFormat="false" ht="26.85" hidden="false" customHeight="true" outlineLevel="0" collapsed="false">
      <c r="B11" s="4" t="s">
        <v>9</v>
      </c>
      <c r="C11" s="5" t="s">
        <v>10</v>
      </c>
      <c r="D11" s="5"/>
      <c r="E11" s="5"/>
    </row>
    <row r="13" customFormat="false" ht="19.5" hidden="false" customHeight="true" outlineLevel="0" collapsed="false">
      <c r="B13" s="7" t="s">
        <v>11</v>
      </c>
      <c r="C13" s="7"/>
      <c r="D13" s="7"/>
      <c r="E13" s="7"/>
    </row>
    <row r="14" customFormat="false" ht="15" hidden="false" customHeight="true" outlineLevel="0" collapsed="false">
      <c r="B14" s="4" t="s">
        <v>12</v>
      </c>
      <c r="C14" s="5" t="s">
        <v>13</v>
      </c>
      <c r="D14" s="5"/>
      <c r="E14" s="5"/>
    </row>
    <row r="15" customFormat="false" ht="15" hidden="false" customHeight="true" outlineLevel="0" collapsed="false">
      <c r="B15" s="4" t="s">
        <v>14</v>
      </c>
      <c r="C15" s="5" t="s">
        <v>15</v>
      </c>
      <c r="D15" s="5"/>
      <c r="E15" s="5"/>
    </row>
    <row r="16" customFormat="false" ht="26.85" hidden="false" customHeight="true" outlineLevel="0" collapsed="false">
      <c r="B16" s="4" t="s">
        <v>16</v>
      </c>
      <c r="C16" s="5" t="s">
        <v>17</v>
      </c>
      <c r="D16" s="5"/>
      <c r="E16" s="5"/>
    </row>
    <row r="17" customFormat="false" ht="15" hidden="false" customHeight="true" outlineLevel="0" collapsed="false">
      <c r="B17" s="4" t="s">
        <v>18</v>
      </c>
      <c r="C17" s="5" t="s">
        <v>19</v>
      </c>
      <c r="D17" s="5"/>
      <c r="E17" s="5"/>
    </row>
    <row r="18" customFormat="false" ht="15" hidden="false" customHeight="true" outlineLevel="0" collapsed="false">
      <c r="B18" s="4" t="s">
        <v>20</v>
      </c>
      <c r="C18" s="5" t="s">
        <v>21</v>
      </c>
      <c r="D18" s="5"/>
      <c r="E18" s="5"/>
    </row>
    <row r="20" customFormat="false" ht="19.5" hidden="false" customHeight="true" outlineLevel="0" collapsed="false">
      <c r="B20" s="7" t="s">
        <v>22</v>
      </c>
      <c r="C20" s="7"/>
      <c r="D20" s="7"/>
      <c r="E20" s="7"/>
    </row>
    <row r="21" customFormat="false" ht="15" hidden="false" customHeight="false" outlineLevel="0" collapsed="false">
      <c r="B21" s="8" t="s">
        <v>23</v>
      </c>
      <c r="C21" s="8" t="s">
        <v>24</v>
      </c>
      <c r="D21" s="8" t="s">
        <v>25</v>
      </c>
      <c r="E21" s="8" t="s">
        <v>26</v>
      </c>
    </row>
    <row r="22" customFormat="false" ht="26.85" hidden="false" customHeight="false" outlineLevel="0" collapsed="false">
      <c r="B22" s="9" t="s">
        <v>27</v>
      </c>
      <c r="C22" s="10" t="s">
        <v>28</v>
      </c>
      <c r="D22" s="10" t="n">
        <v>1</v>
      </c>
      <c r="E22" s="11" t="n">
        <v>1925000</v>
      </c>
    </row>
    <row r="23" customFormat="false" ht="26.85" hidden="false" customHeight="false" outlineLevel="0" collapsed="false">
      <c r="B23" s="9" t="s">
        <v>29</v>
      </c>
      <c r="C23" s="10" t="s">
        <v>30</v>
      </c>
      <c r="D23" s="10" t="n">
        <v>1</v>
      </c>
      <c r="E23" s="11" t="n">
        <v>87000</v>
      </c>
    </row>
    <row r="24" customFormat="false" ht="26.85" hidden="false" customHeight="false" outlineLevel="0" collapsed="false">
      <c r="B24" s="9" t="s">
        <v>31</v>
      </c>
      <c r="C24" s="10" t="s">
        <v>32</v>
      </c>
      <c r="D24" s="10" t="n">
        <v>1</v>
      </c>
      <c r="E24" s="11" t="n">
        <v>38000</v>
      </c>
    </row>
    <row r="25" customFormat="false" ht="39.55" hidden="false" customHeight="false" outlineLevel="0" collapsed="false">
      <c r="B25" s="9" t="s">
        <v>33</v>
      </c>
      <c r="C25" s="10" t="s">
        <v>34</v>
      </c>
      <c r="D25" s="10" t="n">
        <v>1</v>
      </c>
      <c r="E25" s="11" t="n">
        <v>675000</v>
      </c>
    </row>
    <row r="26" customFormat="false" ht="15" hidden="false" customHeight="true" outlineLevel="0" collapsed="false">
      <c r="B26" s="12" t="s">
        <v>35</v>
      </c>
      <c r="C26" s="12"/>
      <c r="D26" s="12"/>
      <c r="E26" s="13" t="n">
        <f aca="false">SUM(E22:E25)</f>
        <v>2725000</v>
      </c>
    </row>
    <row r="27" customFormat="false" ht="15" hidden="false" customHeight="true" outlineLevel="0" collapsed="false">
      <c r="B27" s="14" t="s">
        <v>36</v>
      </c>
      <c r="C27" s="14"/>
      <c r="D27" s="14"/>
      <c r="E27" s="11" t="n">
        <v>140000</v>
      </c>
    </row>
    <row r="28" customFormat="false" ht="15" hidden="false" customHeight="true" outlineLevel="0" collapsed="false">
      <c r="B28" s="15" t="s">
        <v>37</v>
      </c>
      <c r="C28" s="15"/>
      <c r="D28" s="15"/>
      <c r="E28" s="16" t="n">
        <f aca="false">E26+E27</f>
        <v>2865000</v>
      </c>
    </row>
    <row r="30" customFormat="false" ht="15" hidden="false" customHeight="true" outlineLevel="0" collapsed="false">
      <c r="B30" s="17" t="s">
        <v>38</v>
      </c>
      <c r="C30" s="17"/>
      <c r="D30" s="17"/>
      <c r="E30" s="17"/>
    </row>
  </sheetData>
  <mergeCells count="19">
    <mergeCell ref="B2:F2"/>
    <mergeCell ref="B3:F3"/>
    <mergeCell ref="B5:E5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B20:E20"/>
    <mergeCell ref="B26:D26"/>
    <mergeCell ref="B27:D27"/>
    <mergeCell ref="B28:D28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2026-08-05T00:10:56Z</dcterms:created>
  <dc:creator>openpyxl</dc:creator>
  <dc:description/>
  <dc:language>en-US</dc:language>
  <cp:lastModifiedBy/>
  <dcterms:modified xsi:type="dcterms:W3CDTF">2026-08-05T00:10:56Z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