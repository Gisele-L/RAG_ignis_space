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E Q2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<sst xmlns="http://schemas.openxmlformats.org/spreadsheetml/2006/main" count="21" uniqueCount="21">
  <si>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IGNIS SPACE</t>
  </si>
  <si>
    <t xml:space="preserve">RIDESHARE ORBITAL PARA CUBESATS</t>
  </si>
  <si>
    <t xml:space="preserve">DEMONSTRAÇÃO DO RESULTADO DO EXERCÍCIO — 2º TRIMESTRE 2026</t>
  </si>
  <si>
    <t xml:space="preserve">Descrição</t>
  </si>
  <si>
    <t xml:space="preserve">Valor (R$)</t>
  </si>
  <si>
    <t xml:space="preserve">Receita — Contrato IGN-LAU-2026-0143 (Nebula Geodata, 30% assinatura)</t>
  </si>
  <si>
    <t xml:space="preserve">Receita — Contrato IGN-LAU-2026-0144 (Litoral Blue, 30% assinatura)</t>
  </si>
  <si>
    <t xml:space="preserve">Receita — Contrato IGN-LAU-2025-0089 (AgroVisão, saldo final pós-missão)</t>
  </si>
  <si>
    <t xml:space="preserve">RECEITA BRUTA</t>
  </si>
  <si>
    <t xml:space="preserve">Custo — Pedido de compra PC-2026-011 (PropTech, propulsão)</t>
  </si>
  <si>
    <t xml:space="preserve">Custo — Pedido de compra PC-2026-012 (SolarCell, painéis)</t>
  </si>
  <si>
    <t xml:space="preserve">Custo — Pedido de compra PC-2026-013 (AviônicaBR, computador de bordo)</t>
  </si>
  <si>
    <t xml:space="preserve">Custo — Pedido de compra PC-2026-014 (Compósitos SJC, estrutura)</t>
  </si>
  <si>
    <t xml:space="preserve">CUSTO DOS SERVIÇOS PRESTADOS (CSP)</t>
  </si>
  <si>
    <t xml:space="preserve">LUCRO BRUTO</t>
  </si>
  <si>
    <t xml:space="preserve">Despesas com pessoal (folha, 10 colaboradores)</t>
  </si>
  <si>
    <t xml:space="preserve">Despesas administrativas e sede</t>
  </si>
  <si>
    <t xml:space="preserve">Despesas comerciais e marketing</t>
  </si>
  <si>
    <t xml:space="preserve">DESPESAS OPERACIONAIS</t>
  </si>
  <si>
    <t xml:space="preserve">EBITDA</t>
  </si>
  <si>
    <t xml:space="preserve">* Reconhecimento de receita por marco contratual (30% na assinatura), conforme cláusula de pagamento padrão dos contratos de lançamento.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</si>
</sst>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26B1D"/>
      <name val="Arial"/>
      <family val="0"/>
      <charset val="1"/>
    </font>
    <font>
      <b val="true"/>
      <sz val="13"/>
      <color rgb="FF0B1E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B2D32"/>
      <name val="Arial"/>
      <family val="0"/>
      <charset val="1"/>
    </font>
    <font>
      <b val="true"/>
      <sz val="11"/>
      <color rgb="FF0B1E3D"/>
      <name val="Arial"/>
      <family val="0"/>
      <charset val="1"/>
    </font>
    <font>
      <b val="true"/>
      <sz val="11"/>
      <color rgb="FF2B2D32"/>
      <name val="Arial"/>
      <family val="0"/>
      <charset val="1"/>
    </font>
    <font>
      <i val="true"/>
      <sz val="9"/>
      <color rgb="FF3D5A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E3D"/>
        <bgColor rgb="FF2B2D32"/>
      </patternFill>
    </fill>
    <fill>
      <patternFill patternType="solid">
        <fgColor rgb="FFF7F8FA"/>
        <bgColor rgb="FFFFFFFF"/>
      </patternFill>
    </fill>
    <fill>
      <patternFill patternType="solid">
        <fgColor rgb="FFF26B1D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3D5A80"/>
      <rgbColor rgb="FF969696"/>
      <rgbColor rgb="FF0B1E3D"/>
      <rgbColor rgb="FF339966"/>
      <rgbColor rgb="FF003300"/>
      <rgbColor rgb="FF333300"/>
      <rgbColor rgb="FF993300"/>
      <rgbColor rgb="FF993366"/>
      <rgbColor rgb="FF333399"/>
      <rgbColor rgb="FF2B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</row>
    <row r="5" customFormat="false" ht="29.85" hidden="false" customHeight="true" outlineLevel="0" collapsed="false">
      <c r="B5" s="3" t="s">
        <v>2</v>
      </c>
      <c r="C5" s="3"/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26.85" hidden="false" customHeight="false" outlineLevel="0" collapsed="false">
      <c r="B8" s="6" t="s">
        <v>5</v>
      </c>
      <c r="C8" s="7" t="n">
        <v>632475</v>
      </c>
    </row>
    <row r="9" customFormat="false" ht="26.85" hidden="false" customHeight="false" outlineLevel="0" collapsed="false">
      <c r="B9" s="8" t="s">
        <v>6</v>
      </c>
      <c r="C9" s="9" t="n">
        <v>579600</v>
      </c>
    </row>
    <row r="10" customFormat="false" ht="26.85" hidden="false" customHeight="false" outlineLevel="0" collapsed="false">
      <c r="B10" s="6" t="s">
        <v>7</v>
      </c>
      <c r="C10" s="7" t="n">
        <v>534000</v>
      </c>
    </row>
    <row r="11" customFormat="false" ht="15" hidden="false" customHeight="false" outlineLevel="0" collapsed="false">
      <c r="B11" s="10" t="s">
        <v>8</v>
      </c>
      <c r="C11" s="11" t="n">
        <f aca="false">SUM(C8:C10)</f>
        <v>1746075</v>
      </c>
    </row>
    <row r="13" customFormat="false" ht="26.85" hidden="false" customHeight="false" outlineLevel="0" collapsed="false">
      <c r="B13" s="6" t="s">
        <v>9</v>
      </c>
      <c r="C13" s="7" t="n">
        <v>-412000</v>
      </c>
    </row>
    <row r="14" customFormat="false" ht="26.85" hidden="false" customHeight="false" outlineLevel="0" collapsed="false">
      <c r="B14" s="8" t="s">
        <v>10</v>
      </c>
      <c r="C14" s="9" t="n">
        <v>-268000</v>
      </c>
    </row>
    <row r="15" customFormat="false" ht="26.85" hidden="false" customHeight="false" outlineLevel="0" collapsed="false">
      <c r="B15" s="6" t="s">
        <v>11</v>
      </c>
      <c r="C15" s="7" t="n">
        <v>-590000</v>
      </c>
    </row>
    <row r="16" customFormat="false" ht="26.85" hidden="false" customHeight="false" outlineLevel="0" collapsed="false">
      <c r="B16" s="8" t="s">
        <v>12</v>
      </c>
      <c r="C16" s="9" t="n">
        <v>-175000</v>
      </c>
    </row>
    <row r="17" customFormat="false" ht="26.85" hidden="false" customHeight="false" outlineLevel="0" collapsed="false">
      <c r="B17" s="10" t="s">
        <v>13</v>
      </c>
      <c r="C17" s="11" t="n">
        <f aca="false">SUM(C13:C16)</f>
        <v>-1445000</v>
      </c>
    </row>
    <row r="19" customFormat="false" ht="15" hidden="false" customHeight="false" outlineLevel="0" collapsed="false">
      <c r="B19" s="12" t="s">
        <v>14</v>
      </c>
      <c r="C19" s="13" t="n">
        <f aca="false">C11+C17</f>
        <v>301075</v>
      </c>
    </row>
    <row r="21" customFormat="false" ht="26.85" hidden="false" customHeight="false" outlineLevel="0" collapsed="false">
      <c r="B21" s="6" t="s">
        <v>15</v>
      </c>
      <c r="C21" s="7" t="n">
        <v>-498000</v>
      </c>
    </row>
    <row r="22" customFormat="false" ht="15" hidden="false" customHeight="false" outlineLevel="0" collapsed="false">
      <c r="B22" s="8" t="s">
        <v>16</v>
      </c>
      <c r="C22" s="9" t="n">
        <v>-87000</v>
      </c>
    </row>
    <row r="23" customFormat="false" ht="15" hidden="false" customHeight="false" outlineLevel="0" collapsed="false">
      <c r="B23" s="6" t="s">
        <v>17</v>
      </c>
      <c r="C23" s="7" t="n">
        <v>-54000</v>
      </c>
    </row>
    <row r="24" customFormat="false" ht="15" hidden="false" customHeight="false" outlineLevel="0" collapsed="false">
      <c r="B24" s="10" t="s">
        <v>18</v>
      </c>
      <c r="C24" s="11" t="n">
        <f aca="false">SUM(C21:C23)</f>
        <v>-639000</v>
      </c>
    </row>
    <row r="26" customFormat="false" ht="15" hidden="false" customHeight="false" outlineLevel="0" collapsed="false">
      <c r="B26" s="12" t="s">
        <v>19</v>
      </c>
      <c r="C26" s="13" t="n">
        <f aca="false">C19+C24</f>
        <v>-337925</v>
      </c>
    </row>
    <row r="29" customFormat="false" ht="30" hidden="false" customHeight="true" outlineLevel="0" collapsed="false">
      <c r="B29" s="14" t="s">
        <v>20</v>
      </c>
      <c r="C29" s="14"/>
    </row>
  </sheetData>
  <mergeCells count="4">
    <mergeCell ref="B2:F2"/>
    <mergeCell ref="B3:F3"/>
    <mergeCell ref="B5:C5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2026-08-05T00:10:56Z</dcterms:created>
  <dc:creator>openpyxl</dc:creator>
  <dc:description/>
  <dc:language>en-US</dc:language>
  <cp:lastModifiedBy/>
  <dcterms:modified xsi:type="dcterms:W3CDTF">2026-08-05T00:10:56Z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